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ource 1 - Charts &amp; Calcs" sheetId="1" state="visible" r:id="rId1"/>
    <sheet xmlns:r="http://schemas.openxmlformats.org/officeDocument/2006/relationships" name="Resource 2 - Validation" sheetId="2" state="visible" r:id="rId2"/>
    <sheet xmlns:r="http://schemas.openxmlformats.org/officeDocument/2006/relationships" name="Decisions &amp; Unassig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 wrapText="1"/>
    </xf>
    <xf numFmtId="164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0" fillId="0" borderId="1" pivotButton="0" quotePrefix="0" xfId="0"/>
    <xf numFmtId="0" fontId="4" fillId="0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center" vertical="top" wrapText="1"/>
    </xf>
    <xf numFmtId="164" fontId="4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4" fillId="7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top" wrapText="1"/>
    </xf>
    <xf numFmtId="0" fontId="1" fillId="0" borderId="0" pivotButton="0" quotePrefix="0" xfId="0"/>
    <xf numFmtId="0" fontId="4" fillId="4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2" customWidth="1" min="2" max="2"/>
    <col width="9" customWidth="1" min="3" max="3"/>
    <col width="10" customWidth="1" min="4" max="4"/>
    <col width="12" customWidth="1" min="5" max="5"/>
    <col width="20" customWidth="1" min="6" max="6"/>
    <col width="15" customWidth="1" min="7" max="7"/>
    <col width="44" customWidth="1" min="8" max="8"/>
    <col width="28" customWidth="1" min="9" max="9"/>
    <col width="46" customWidth="1" min="10" max="10"/>
    <col width="12" customWidth="1" min="11" max="11"/>
    <col width="22" customWidth="1" min="12" max="12"/>
  </cols>
  <sheetData>
    <row r="1" ht="22" customHeight="1">
      <c r="A1" s="1" t="inlineStr">
        <is>
          <t>RESOURCE 1  |  Track A - Chart &amp; Calc Engine Backlog</t>
        </is>
      </c>
    </row>
    <row r="2" ht="30" customHeight="1">
      <c r="A2" s="2" t="inlineStr">
        <is>
          <t>Fully independent: no pending decisions, no blockers. Can start on A1 today. Primary files: engine.py, calc_translator.py, tableau_parser.py (render/parse paths). Only hard dependency is A1 -&gt; A2. Full context: HANDOFF_TRACK_A_CHART_CALC.md</t>
        </is>
      </c>
    </row>
    <row r="4" ht="26" customHeight="1">
      <c r="A4" s="3" t="inlineStr">
        <is>
          <t>ID</t>
        </is>
      </c>
      <c r="B4" s="3" t="inlineStr">
        <is>
          <t>Task</t>
        </is>
      </c>
      <c r="C4" s="3" t="inlineStr">
        <is>
          <t>Priority</t>
        </is>
      </c>
      <c r="D4" s="3" t="inlineStr">
        <is>
          <t>Est (days)</t>
        </is>
      </c>
      <c r="E4" s="3" t="inlineStr">
        <is>
          <t>Depends on (task)</t>
        </is>
      </c>
      <c r="F4" s="3" t="inlineStr">
        <is>
          <t>Dependency tier</t>
        </is>
      </c>
      <c r="G4" s="3" t="inlineStr">
        <is>
          <t>Needs Sharath?</t>
        </is>
      </c>
      <c r="H4" s="3" t="inlineStr">
        <is>
          <t>Local evidence / what unblocks it</t>
        </is>
      </c>
      <c r="I4" s="3" t="inlineStr">
        <is>
          <t>Primary files</t>
        </is>
      </c>
      <c r="J4" s="3" t="inlineStr">
        <is>
          <t>Done when</t>
        </is>
      </c>
      <c r="K4" s="3" t="inlineStr">
        <is>
          <t>Status</t>
        </is>
      </c>
      <c r="L4" s="3" t="inlineStr">
        <is>
          <t>Owner notes</t>
        </is>
      </c>
    </row>
    <row r="5" ht="96" customHeight="1">
      <c r="A5" s="4" t="inlineStr">
        <is>
          <t>A1</t>
        </is>
      </c>
      <c r="B5" s="5" t="inlineStr">
        <is>
          <t>Bins - numeric FLOOR binning: floor(field/binsize)*binsize. NOT the 'categorical-bin' user GROUPS already handled at tableau_parser.py:2017 - different construct, do not confuse. Top corpus gap: 197 occurrences.</t>
        </is>
      </c>
      <c r="C5" s="6" t="inlineStr">
        <is>
          <t>P0</t>
        </is>
      </c>
      <c r="D5" s="7" t="n">
        <v>1.5</v>
      </c>
      <c r="E5" s="8" t="inlineStr">
        <is>
          <t>-</t>
        </is>
      </c>
      <c r="F5" s="9" t="inlineStr">
        <is>
          <t>1 - INDEPENDENT</t>
        </is>
      </c>
      <c r="G5" s="9" t="inlineStr">
        <is>
          <t>No</t>
        </is>
      </c>
      <c r="H5" s="5" t="inlineStr">
        <is>
          <t>Corpus workbooks with bins are local in Workbooks/. Regression suite runs fully offline (DuckDB + fake Snowflake sessions) - verified by a full 81-gate run with no credentials.</t>
        </is>
      </c>
      <c r="I5" s="5" t="inlineStr">
        <is>
          <t>tableau_parser.py, calc_translator.py, engine.py</t>
        </is>
      </c>
      <c r="J5" s="5" t="inlineStr">
        <is>
          <t>A real corpus workbook using bins renders with numerically correct bucket boundaries, locked by a new gate in tests/test_regression.py.</t>
        </is>
      </c>
      <c r="K5" s="8" t="inlineStr">
        <is>
          <t>Not started</t>
        </is>
      </c>
      <c r="L5" s="5" t="inlineStr">
        <is>
          <t>START HERE - no blockers</t>
        </is>
      </c>
    </row>
    <row r="6" ht="96" customHeight="1">
      <c r="A6" s="4" t="inlineStr">
        <is>
          <t>A2</t>
        </is>
      </c>
      <c r="B6" s="5" t="inlineStr">
        <is>
          <t>Histogram - bar chart over a binned continuous measure with COUNT/COUNTD aggregate. New r_histogram in engine.py, dispatched off A1's bin detection.</t>
        </is>
      </c>
      <c r="C6" s="6" t="inlineStr">
        <is>
          <t>P0</t>
        </is>
      </c>
      <c r="D6" s="7" t="n">
        <v>1</v>
      </c>
      <c r="E6" s="8" t="inlineStr">
        <is>
          <t>A1</t>
        </is>
      </c>
      <c r="F6" s="9" t="inlineStr">
        <is>
          <t>1 - INDEPENDENT</t>
        </is>
      </c>
      <c r="G6" s="9" t="inlineStr">
        <is>
          <t>No</t>
        </is>
      </c>
      <c r="H6" s="5" t="inlineStr">
        <is>
          <t>Local. Only dependency is task A1.</t>
        </is>
      </c>
      <c r="I6" s="5" t="inlineStr">
        <is>
          <t>engine.py</t>
        </is>
      </c>
      <c r="J6" s="5" t="inlineStr">
        <is>
          <t>Histogram sheet renders with correct bucket counts vs a hand-computed reference.</t>
        </is>
      </c>
      <c r="K6" s="8" t="inlineStr">
        <is>
          <t>Not started</t>
        </is>
      </c>
      <c r="L6" s="5" t="inlineStr">
        <is>
          <t>Blocked until A1 lands</t>
        </is>
      </c>
    </row>
    <row r="7" ht="96" customHeight="1">
      <c r="A7" s="4" t="inlineStr">
        <is>
          <t>A3</t>
        </is>
      </c>
      <c r="B7" s="5" t="inlineStr">
        <is>
          <t>Table calcs RUNNING_*/LOOKUP/TOTAL/FIRST/LAST. Currently in the refusal regex at calc_translator.py:118. Needs the sheet's own sort context fed into a window ORDER BY. Read how RANK/RANK_DENSE/RANK_UNIQUE were done (calc_translator.py:240-280) first - same family.</t>
        </is>
      </c>
      <c r="C7" s="10" t="inlineStr">
        <is>
          <t>P1</t>
        </is>
      </c>
      <c r="D7" s="7" t="n">
        <v>2</v>
      </c>
      <c r="E7" s="8" t="inlineStr">
        <is>
          <t>-</t>
        </is>
      </c>
      <c r="F7" s="9" t="inlineStr">
        <is>
          <t>1 - INDEPENDENT</t>
        </is>
      </c>
      <c r="G7" s="9" t="inlineStr">
        <is>
          <t>No</t>
        </is>
      </c>
      <c r="H7" s="5" t="inlineStr">
        <is>
          <t>Local corpus workbook + DuckDB. No account needed.</t>
        </is>
      </c>
      <c r="I7" s="5" t="inlineStr">
        <is>
          <t>calc_translator.py, engine.py</t>
        </is>
      </c>
      <c r="J7" s="5" t="inlineStr">
        <is>
          <t>A RUNNING_SUM or LOOKUP calc against a real corpus workbook matches Tableau's own displayed running total exactly.</t>
        </is>
      </c>
      <c r="K7" s="8" t="inlineStr">
        <is>
          <t>Not started</t>
        </is>
      </c>
      <c r="L7" s="5" t="inlineStr"/>
    </row>
    <row r="8" ht="96" customHeight="1">
      <c r="A8" s="4" t="inlineStr">
        <is>
          <t>A4</t>
        </is>
      </c>
      <c r="B8" s="5" t="inlineStr">
        <is>
          <t>Native Measure Names/Values selector. The calc-based form (a CASE calc on a parameter) is ALREADY DONE and numerically verified on Superstore_TopN_MeasureSwap. Only Tableau's native no-calc shelf construct is missing - the parameter is already captured, the switch-wiring is the gap.</t>
        </is>
      </c>
      <c r="C8" s="10" t="inlineStr">
        <is>
          <t>P1</t>
        </is>
      </c>
      <c r="D8" s="7" t="n">
        <v>1</v>
      </c>
      <c r="E8" s="8" t="inlineStr">
        <is>
          <t>-</t>
        </is>
      </c>
      <c r="F8" s="9" t="inlineStr">
        <is>
          <t>1 - INDEPENDENT</t>
        </is>
      </c>
      <c r="G8" s="9" t="inlineStr">
        <is>
          <t>No</t>
        </is>
      </c>
      <c r="H8" s="5" t="inlineStr">
        <is>
          <t>Superstore_TopN_MeasureSwap.twbx is local at the repo root, and superstore_topn_measureswap_ir.json is already parsed.</t>
        </is>
      </c>
      <c r="I8" s="5" t="inlineStr">
        <is>
          <t>tableau_parser.py, engine.py</t>
        </is>
      </c>
      <c r="J8" s="5" t="inlineStr">
        <is>
          <t>A workbook using the native selector renders and switches measures correctly, routed through the same path the calc-based form already uses.</t>
        </is>
      </c>
      <c r="K8" s="8" t="inlineStr">
        <is>
          <t>Not started</t>
        </is>
      </c>
      <c r="L8" s="5" t="inlineStr"/>
    </row>
    <row r="9" ht="96" customHeight="1">
      <c r="A9" s="4" t="inlineStr">
        <is>
          <t>A5</t>
        </is>
      </c>
      <c r="B9" s="5" t="inlineStr">
        <is>
          <t>Box-whisker chart. New r_boxwhisker in engine.py. Altair has native mark_boxplot() - verify Tableau's quartile method and outlier display match Altair's defaults before assuming a 1:1 mapping.</t>
        </is>
      </c>
      <c r="C9" s="8" t="inlineStr">
        <is>
          <t>P2</t>
        </is>
      </c>
      <c r="D9" s="7" t="n">
        <v>1</v>
      </c>
      <c r="E9" s="8" t="inlineStr">
        <is>
          <t>-</t>
        </is>
      </c>
      <c r="F9" s="9" t="inlineStr">
        <is>
          <t>1 - INDEPENDENT</t>
        </is>
      </c>
      <c r="G9" s="9" t="inlineStr">
        <is>
          <t>No</t>
        </is>
      </c>
      <c r="H9" s="5" t="inlineStr">
        <is>
          <t>Local.</t>
        </is>
      </c>
      <c r="I9" s="5" t="inlineStr">
        <is>
          <t>engine.py</t>
        </is>
      </c>
      <c r="J9" s="5" t="inlineStr">
        <is>
          <t>Min/Q1/median/Q3/max match a hand-computed reference on a test workbook.</t>
        </is>
      </c>
      <c r="K9" s="8" t="inlineStr">
        <is>
          <t>Not started</t>
        </is>
      </c>
      <c r="L9" s="5" t="inlineStr"/>
    </row>
    <row r="10" ht="96" customHeight="1">
      <c r="A10" s="4" t="inlineStr">
        <is>
          <t>A6</t>
        </is>
      </c>
      <c r="B10" s="5" t="inlineStr">
        <is>
          <t>Bullet chart. New r_bullet in engine.py. Needs qualitative-range bands + target marker. Reference-line parsing (_refline_rule, engine.py:981) is structurally similar to a bullet's target - read it first.</t>
        </is>
      </c>
      <c r="C10" s="8" t="inlineStr">
        <is>
          <t>P2</t>
        </is>
      </c>
      <c r="D10" s="7" t="n">
        <v>1</v>
      </c>
      <c r="E10" s="8" t="inlineStr">
        <is>
          <t>-</t>
        </is>
      </c>
      <c r="F10" s="9" t="inlineStr">
        <is>
          <t>1 - INDEPENDENT</t>
        </is>
      </c>
      <c r="G10" s="9" t="inlineStr">
        <is>
          <t>No</t>
        </is>
      </c>
      <c r="H10" s="5" t="inlineStr">
        <is>
          <t>Local.</t>
        </is>
      </c>
      <c r="I10" s="5" t="inlineStr">
        <is>
          <t>engine.py</t>
        </is>
      </c>
      <c r="J10" s="5" t="inlineStr">
        <is>
          <t>Bands and target marker render correctly against a test workbook.</t>
        </is>
      </c>
      <c r="K10" s="8" t="inlineStr">
        <is>
          <t>Not started</t>
        </is>
      </c>
      <c r="L10" s="5" t="inlineStr"/>
    </row>
    <row r="11" ht="96" customHeight="1">
      <c r="A11" s="4" t="inlineStr">
        <is>
          <t>A7</t>
        </is>
      </c>
      <c r="B11" s="5" t="inlineStr">
        <is>
          <t>True matrix / pivot table - row+column dimension crossing with subtotals. DISTINCT from the existing flat crosstab (r_table / _rank_table).</t>
        </is>
      </c>
      <c r="C11" s="8" t="inlineStr">
        <is>
          <t>P2</t>
        </is>
      </c>
      <c r="D11" s="7" t="n">
        <v>2</v>
      </c>
      <c r="E11" s="8" t="inlineStr">
        <is>
          <t>-</t>
        </is>
      </c>
      <c r="F11" s="9" t="inlineStr">
        <is>
          <t>1 - INDEPENDENT</t>
        </is>
      </c>
      <c r="G11" s="9" t="inlineStr">
        <is>
          <t>No</t>
        </is>
      </c>
      <c r="H11" s="5" t="inlineStr">
        <is>
          <t>Local.</t>
        </is>
      </c>
      <c r="I11" s="5" t="inlineStr">
        <is>
          <t>engine.py</t>
        </is>
      </c>
      <c r="J11" s="5" t="inlineStr">
        <is>
          <t>Read _rank_table (engine.py:1802) and r_table fully BEFORE starting - a naive implementation duplicates a lot of existing formatting/glyph logic.</t>
        </is>
      </c>
      <c r="K11" s="8" t="inlineStr">
        <is>
          <t>Not started</t>
        </is>
      </c>
      <c r="L11" s="5" t="inlineStr">
        <is>
          <t>Most structurally different item</t>
        </is>
      </c>
    </row>
    <row r="12" ht="96" customHeight="1">
      <c r="A12" s="4" t="inlineStr">
        <is>
          <t>A8</t>
        </is>
      </c>
      <c r="B12" s="5" t="inlineStr">
        <is>
          <t>Map/choropleth blank-in-sandbox fallback. Plotly-rendered maps are known to render blank inside the SiS sandbox (a platform limit, not a parsing bug). Needs a bar/table fallback presentation.</t>
        </is>
      </c>
      <c r="C12" s="8" t="inlineStr">
        <is>
          <t>P2</t>
        </is>
      </c>
      <c r="D12" s="7" t="n">
        <v>1</v>
      </c>
      <c r="E12" s="8" t="inlineStr">
        <is>
          <t>-</t>
        </is>
      </c>
      <c r="F12" s="9" t="inlineStr">
        <is>
          <t>1 - INDEPENDENT</t>
        </is>
      </c>
      <c r="G12" s="9" t="inlineStr">
        <is>
          <t>No - has Snowflake</t>
        </is>
      </c>
      <c r="H12" s="5" t="inlineStr">
        <is>
          <t>Needs the Streamlit-in-Snowflake sandbox to verify the blank-map behavior and prove the fallback (cannot be reproduced locally - the blank map IS a sandbox-only platform limit). CONFIRMED 2026-08-13: the resource has Snowflake/Snowsight access, so this is theirs to do. Needs the connections.toml entry for wb19670-c2gpartners.</t>
        </is>
      </c>
      <c r="I12" s="5" t="inlineStr">
        <is>
          <t>engine.py</t>
        </is>
      </c>
      <c r="J12" s="5" t="inlineStr">
        <is>
          <t>Fallback renders with an honest finding stating why - never a silent blank.</t>
        </is>
      </c>
      <c r="K12" s="8" t="inlineStr">
        <is>
          <t>Not started</t>
        </is>
      </c>
      <c r="L12" s="5" t="inlineStr"/>
    </row>
    <row r="13" ht="96" customHeight="1">
      <c r="A13" s="4" t="inlineStr">
        <is>
          <t>A9</t>
        </is>
      </c>
      <c r="B13" s="5" t="inlineStr">
        <is>
          <t>Rich hover tooltips - custom tooltip fidelity (155x in corpus, cosmetic).</t>
        </is>
      </c>
      <c r="C13" s="8" t="inlineStr">
        <is>
          <t>P3</t>
        </is>
      </c>
      <c r="D13" s="7" t="n">
        <v>1</v>
      </c>
      <c r="E13" s="8" t="inlineStr">
        <is>
          <t>D3</t>
        </is>
      </c>
      <c r="F13" s="11" t="inlineStr">
        <is>
          <t>2 - ONE-TIME UNBLOCK</t>
        </is>
      </c>
      <c r="G13" s="11" t="inlineStr">
        <is>
          <t>Decision D3</t>
        </is>
      </c>
      <c r="H13" s="5" t="inlineStr">
        <is>
          <t>Work itself is fully local. Only needs you to confirm it is still deprioritized before the resource spends a day on it.</t>
        </is>
      </c>
      <c r="I13" s="5" t="inlineStr">
        <is>
          <t>engine.py</t>
        </is>
      </c>
      <c r="J13" s="5" t="inlineStr">
        <is>
          <t>CONFIRM WITH SHARATH still deprioritized before starting - status_config.json records this as user-deprioritized.</t>
        </is>
      </c>
      <c r="K13" s="8" t="inlineStr">
        <is>
          <t>Not started</t>
        </is>
      </c>
      <c r="L13" s="5" t="inlineStr">
        <is>
          <t>Confirm priority first</t>
        </is>
      </c>
    </row>
    <row r="14" ht="96" customHeight="1">
      <c r="A14" s="4" t="inlineStr">
        <is>
          <t>A10</t>
        </is>
      </c>
      <c r="B14" s="5" t="inlineStr">
        <is>
          <t>Pixel-exact layout cosmetics - hollow scatter marks, reference-line labels, narrow-column truncation.</t>
        </is>
      </c>
      <c r="C14" s="8" t="inlineStr">
        <is>
          <t>P3</t>
        </is>
      </c>
      <c r="D14" s="7" t="n">
        <v>1</v>
      </c>
      <c r="E14" s="8" t="inlineStr">
        <is>
          <t>-</t>
        </is>
      </c>
      <c r="F14" s="9" t="inlineStr">
        <is>
          <t>1 - INDEPENDENT</t>
        </is>
      </c>
      <c r="G14" s="9" t="inlineStr">
        <is>
          <t>No</t>
        </is>
      </c>
      <c r="H14" s="5" t="inlineStr">
        <is>
          <t>Local.</t>
        </is>
      </c>
      <c r="I14" s="5" t="inlineStr">
        <is>
          <t>engine.py</t>
        </is>
      </c>
      <c r="J14" s="5" t="inlineStr">
        <is>
          <t>Visual parity on the named cosmetic cases. Lowest priority - take last.</t>
        </is>
      </c>
      <c r="K14" s="8" t="inlineStr">
        <is>
          <t>Not started</t>
        </is>
      </c>
      <c r="L14" s="5" t="inlineStr"/>
    </row>
    <row r="15" ht="44" customHeight="1">
      <c r="A15" s="12" t="n"/>
      <c r="B15" s="13" t="inlineStr">
        <is>
          <t>TOTAL (estimated days)</t>
        </is>
      </c>
      <c r="C15" s="12" t="n"/>
      <c r="D15" s="14">
        <f>SUM(D5:D14)</f>
        <v/>
      </c>
      <c r="E15" s="12" t="n"/>
      <c r="F15" s="15">
        <f>SUMIF(F5:F14,"1 - INDEPENDENT",D5:D14)</f>
        <v/>
      </c>
      <c r="G15" s="16" t="inlineStr">
        <is>
          <t>days independent</t>
        </is>
      </c>
      <c r="H15" s="12" t="n"/>
      <c r="I15" s="12" t="n"/>
      <c r="J15" s="17" t="inlineStr">
        <is>
          <t>All 10 items estimated from MVP_ACCELERATOR_SCOPE.md's own tracked figures.</t>
        </is>
      </c>
      <c r="K15" s="12" t="n"/>
      <c r="L15" s="12" t="n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2" customWidth="1" min="2" max="2"/>
    <col width="9" customWidth="1" min="3" max="3"/>
    <col width="10" customWidth="1" min="4" max="4"/>
    <col width="12" customWidth="1" min="5" max="5"/>
    <col width="20" customWidth="1" min="6" max="6"/>
    <col width="15" customWidth="1" min="7" max="7"/>
    <col width="44" customWidth="1" min="8" max="8"/>
    <col width="28" customWidth="1" min="9" max="9"/>
    <col width="46" customWidth="1" min="10" max="10"/>
    <col width="12" customWidth="1" min="11" max="11"/>
    <col width="22" customWidth="1" min="12" max="12"/>
  </cols>
  <sheetData>
    <row r="1" ht="22" customHeight="1">
      <c r="A1" s="1" t="inlineStr">
        <is>
          <t>RESOURCE 2  |  Track B - Validation &amp; Data-Model Correctness</t>
        </is>
      </c>
    </row>
    <row r="2" ht="30" customHeight="1">
      <c r="A2" s="2" t="inlineStr">
        <is>
          <t>UPDATED 2026-08-13: D1/D2 decided, so B1/B2/B6/B7/B8 are ALL unblocked - start on any of them. Only B3/B4 still wait on the E1/E2 crosstab exports, and B5 needs Snowflake. Primary files: validation_report.py, validation_adapter.py, deep_validation.py, app_screenshot.py. Full context (incl. the D1/D2 rationale): HANDOFF_TRACK_B_VALIDATION.md</t>
        </is>
      </c>
    </row>
    <row r="4" ht="26" customHeight="1">
      <c r="A4" s="3" t="inlineStr">
        <is>
          <t>ID</t>
        </is>
      </c>
      <c r="B4" s="3" t="inlineStr">
        <is>
          <t>Task</t>
        </is>
      </c>
      <c r="C4" s="3" t="inlineStr">
        <is>
          <t>Priority</t>
        </is>
      </c>
      <c r="D4" s="3" t="inlineStr">
        <is>
          <t>Est (days)</t>
        </is>
      </c>
      <c r="E4" s="3" t="inlineStr">
        <is>
          <t>Depends on (task)</t>
        </is>
      </c>
      <c r="F4" s="3" t="inlineStr">
        <is>
          <t>Dependency tier</t>
        </is>
      </c>
      <c r="G4" s="3" t="inlineStr">
        <is>
          <t>Needs Sharath?</t>
        </is>
      </c>
      <c r="H4" s="3" t="inlineStr">
        <is>
          <t>Local evidence / what unblocks it</t>
        </is>
      </c>
      <c r="I4" s="3" t="inlineStr">
        <is>
          <t>Primary files</t>
        </is>
      </c>
      <c r="J4" s="3" t="inlineStr">
        <is>
          <t>Done when</t>
        </is>
      </c>
      <c r="K4" s="3" t="inlineStr">
        <is>
          <t>Status</t>
        </is>
      </c>
      <c r="L4" s="3" t="inlineStr">
        <is>
          <t>Owner notes</t>
        </is>
      </c>
    </row>
    <row r="5" ht="96" customHeight="1">
      <c r="A5" s="4" t="inlineStr">
        <is>
          <t>B1</t>
        </is>
      </c>
      <c r="B5" s="5" t="inlineStr">
        <is>
          <t>order_match chart-level FAIL semantics (validation_report.py:198, made a structural_failure at line 206). Live on Regional Analysis, TWO fully-evidenced charts read chart-level FAIL while EVERY individual cell passes - purely from row sequence. DECIDED: implement as a structural FAIL only for ranked/top-N charts; informational flag everywhere else.</t>
        </is>
      </c>
      <c r="C5" s="6" t="inlineStr">
        <is>
          <t>P0</t>
        </is>
      </c>
      <c r="D5" s="8" t="inlineStr">
        <is>
          <t>not est.</t>
        </is>
      </c>
      <c r="E5" s="8" t="inlineStr">
        <is>
          <t>-</t>
        </is>
      </c>
      <c r="F5" s="9" t="inlineStr">
        <is>
          <t>1 - INDEPENDENT</t>
        </is>
      </c>
      <c r="G5" s="9" t="inlineStr">
        <is>
          <t>No - D1 DECIDED</t>
        </is>
      </c>
      <c r="H5" s="5" t="inlineStr">
        <is>
          <t>UNBLOCKED 2026-08-13. Sharath's ruling: order is a structural FAIL only for ranked/top-N charts; informational elsewhere. Work is fully offline (validation_report.py + local fixtures). Full rationale in HANDOFF_TRACK_B_VALIDATION.md item 1.</t>
        </is>
      </c>
      <c r="I5" s="5" t="inlineStr">
        <is>
          <t>validation_report.py</t>
        </is>
      </c>
      <c r="J5" s="5" t="inlineStr">
        <is>
          <t>Gate proves BOTH sides: a ranked list STILL fails on wrong order, a grouped bar chart no longer does. DO NOT simply delete the check, and do NOT weaken it for ranked lists - it touches the vendored engine's structural-failure semantics.</t>
        </is>
      </c>
      <c r="K5" s="8" t="inlineStr">
        <is>
          <t>Ready</t>
        </is>
      </c>
      <c r="L5" s="5" t="inlineStr">
        <is>
          <t>D1 decided 2026-08-13</t>
        </is>
      </c>
    </row>
    <row r="6" ht="96" customHeight="1">
      <c r="A6" s="4" t="inlineStr">
        <is>
          <t>B2</t>
        </is>
      </c>
      <c r="B6" s="5" t="inlineStr">
        <is>
          <t>Global Sales Dashboard View2 crash. Crashed the then-current capture during the 2026-08-11/12 screenshot testing and was NEVER root-caused - the session moved to the real-screenshot rewrite first. An earlier status-doc draft wrongly claimed this workbook was tested and fixed; it was not.</t>
        </is>
      </c>
      <c r="C6" s="6" t="inlineStr">
        <is>
          <t>P0</t>
        </is>
      </c>
      <c r="D6" s="8" t="inlineStr">
        <is>
          <t>not est.</t>
        </is>
      </c>
      <c r="E6" s="8" t="inlineStr">
        <is>
          <t>-</t>
        </is>
      </c>
      <c r="F6" s="9" t="inlineStr">
        <is>
          <t>1 - INDEPENDENT</t>
        </is>
      </c>
      <c r="G6" s="9" t="inlineStr">
        <is>
          <t>No</t>
        </is>
      </c>
      <c r="H6" s="5" t="inlineStr">
        <is>
          <t>Globalsalesdashboard.twbx IS present in Workbooks/ and globalsalesdashboard_ir.json is already parsed. Reproduces locally with app_screenshot.py against a locally-run app - no SSO, no account.</t>
        </is>
      </c>
      <c r="I6" s="5" t="inlineStr">
        <is>
          <t>app_screenshot.py, deep_validation.py, headless_render.py</t>
        </is>
      </c>
      <c r="J6" s="5" t="inlineStr">
        <is>
          <t>FIRST question to answer: does it still reproduce under app_screenshot.capture_app, or was it specific to the now-retired headless_render image path? That answer decides whether this is a live bug or already moot. Either fixed, or proven moot with evidence.</t>
        </is>
      </c>
      <c r="K6" s="8" t="inlineStr">
        <is>
          <t>Not started</t>
        </is>
      </c>
      <c r="L6" s="5" t="inlineStr">
        <is>
          <t>START HERE - needs no decision. 3rd corpus workbook = highest-value generalization proof</t>
        </is>
      </c>
    </row>
    <row r="7" ht="96" customHeight="1">
      <c r="A7" s="4" t="inlineStr">
        <is>
          <t>B3</t>
        </is>
      </c>
      <c r="B7" s="5" t="inlineStr">
        <is>
          <t>Pivoted / long-shape Tableau crosstab alignment. Tableau's REST crosstab sometimes returns a long shape (Measure Names / Measure Values columns) instead of wide, so those charts lose their Tableau leg entirely.</t>
        </is>
      </c>
      <c r="C7" s="10" t="inlineStr">
        <is>
          <t>P1</t>
        </is>
      </c>
      <c r="D7" s="8" t="inlineStr">
        <is>
          <t>not est.</t>
        </is>
      </c>
      <c r="E7" s="8" t="inlineStr">
        <is>
          <t>-</t>
        </is>
      </c>
      <c r="F7" s="11" t="inlineStr">
        <is>
          <t>2 - ONE-TIME UNBLOCK</t>
        </is>
      </c>
      <c r="G7" s="11" t="inlineStr">
        <is>
          <t>ONE sample CSV</t>
        </is>
      </c>
      <c r="H7" s="5" t="inlineStr">
        <is>
          <t>BLOCKER CONFIRMED: no saved live Tableau crosstab exists anywhere in the repo, and there is NO fixture for the pivoted Measure Names/Measure Values shape (checked tests/fixtures/ and every reports/ pack). Export ONE crosstab in that shape and this goes fully offline.</t>
        </is>
      </c>
      <c r="I7" s="5" t="inlineStr">
        <is>
          <t>validation_adapter.py, deep_validation.py</t>
        </is>
      </c>
      <c r="J7" s="5" t="inlineStr">
        <is>
          <t>Reshape works AND _assign_dashboard_csv_by_header (deep_validation.py:96) still resolves uniquely afterward. CAREFUL: the exact-header-set matcher was chosen over a subset match because subset matching was proven genuinely ambiguous against live data - reshaping changes the header set it sees.</t>
        </is>
      </c>
      <c r="K7" s="8" t="inlineStr">
        <is>
          <t>Not started</t>
        </is>
      </c>
      <c r="L7" s="5" t="inlineStr"/>
    </row>
    <row r="8" ht="96" customHeight="1">
      <c r="A8" s="4" t="inlineStr">
        <is>
          <t>B4</t>
        </is>
      </c>
      <c r="B8" s="5" t="inlineStr">
        <is>
          <t>Date-part column-name aliasing. Date-part-grouped Tableau headers (e.g. 'Month of Order Date') don't alias to the chart's own 'Order Date' grain, so those columns never compare.</t>
        </is>
      </c>
      <c r="C8" s="10" t="inlineStr">
        <is>
          <t>P1</t>
        </is>
      </c>
      <c r="D8" s="8" t="inlineStr">
        <is>
          <t>not est.</t>
        </is>
      </c>
      <c r="E8" s="8" t="inlineStr">
        <is>
          <t>-</t>
        </is>
      </c>
      <c r="F8" s="11" t="inlineStr">
        <is>
          <t>2 - ONE-TIME UNBLOCK</t>
        </is>
      </c>
      <c r="G8" s="11" t="inlineStr">
        <is>
          <t>ONE sample CSV</t>
        </is>
      </c>
      <c r="H8" s="5" t="inlineStr">
        <is>
          <t>Same as B3 - needs one crosstab whose header carries a date-part grouping (e.g. 'Month of Order Date'). None saved locally.</t>
        </is>
      </c>
      <c r="I8" s="5" t="inlineStr">
        <is>
          <t>validation_adapter.py, parity.py</t>
        </is>
      </c>
      <c r="J8" s="5" t="inlineStr">
        <is>
          <t>Verified against a REAL pulled crosstab, not an assumed header format. Related machinery: parity._sheet_pill_captions and engine._part_num (engine.py:583).</t>
        </is>
      </c>
      <c r="K8" s="8" t="inlineStr">
        <is>
          <t>Not started</t>
        </is>
      </c>
      <c r="L8" s="5" t="inlineStr"/>
    </row>
    <row r="9" ht="96" customHeight="1">
      <c r="A9" s="4" t="inlineStr">
        <is>
          <t>B5</t>
        </is>
      </c>
      <c r="B9" s="5" t="inlineStr">
        <is>
          <t>Two unresolved backend measures - 'Days to Ship Scheduled' and 'Sales Forecast' don't resolve against the backend table, so their charts can't complete the backend leg.</t>
        </is>
      </c>
      <c r="C9" s="10" t="inlineStr">
        <is>
          <t>P1</t>
        </is>
      </c>
      <c r="D9" s="8" t="inlineStr">
        <is>
          <t>not est.</t>
        </is>
      </c>
      <c r="E9" s="8" t="inlineStr">
        <is>
          <t>-</t>
        </is>
      </c>
      <c r="F9" s="9" t="inlineStr">
        <is>
          <t>1 - INDEPENDENT</t>
        </is>
      </c>
      <c r="G9" s="9" t="inlineStr">
        <is>
          <t>No - has Snowflake</t>
        </is>
      </c>
      <c r="H9" s="5" t="inlineStr">
        <is>
          <t>Needs the real backend table to diagnose which of three causes applies (calc gap / column-mapping gap / column genuinely absent) - cannot be determined from the workbook XML alone. CONFIRMED 2026-08-13: the resource has Snowflake/Snowsight access, so this is theirs. Needs the connections.toml entry for wb19670-c2gpartners.</t>
        </is>
      </c>
      <c r="I9" s="5" t="inlineStr">
        <is>
          <t>validation_adapter.py, calc_translator.py</t>
        </is>
      </c>
      <c r="J9" s="5" t="inlineStr">
        <is>
          <t>Diagnose which of three causes applies - calc-translation gap, column-mapping gap, or genuinely absent from the loaded table. Each has a very different fix.</t>
        </is>
      </c>
      <c r="K9" s="8" t="inlineStr">
        <is>
          <t>Not started</t>
        </is>
      </c>
      <c r="L9" s="5" t="inlineStr"/>
    </row>
    <row r="10" ht="96" customHeight="1">
      <c r="A10" s="4" t="inlineStr">
        <is>
          <t>B6</t>
        </is>
      </c>
      <c r="B10" s="5" t="inlineStr">
        <is>
          <t>Discount AVG-vs-SUM app bug. profile_superstore.py:20 curates 'Discount': AVG(DISCOUNT), which silently overrides the workbook's own declared agg=sum. Validation caught it and Tableau itself settled it via REST: Tableau 0.2/0.8/0.4, app 0.1/0.2/0.1, backend 0.2/0.8/0.4 - THE MIGRATED APP IS WRONG.</t>
        </is>
      </c>
      <c r="C10" s="10" t="inlineStr">
        <is>
          <t>P1</t>
        </is>
      </c>
      <c r="D10" s="8" t="inlineStr">
        <is>
          <t>not est.</t>
        </is>
      </c>
      <c r="E10" s="8" t="inlineStr">
        <is>
          <t>-</t>
        </is>
      </c>
      <c r="F10" s="9" t="inlineStr">
        <is>
          <t>1 - INDEPENDENT</t>
        </is>
      </c>
      <c r="G10" s="9" t="inlineStr">
        <is>
          <t>No - D2 DECIDED</t>
        </is>
      </c>
      <c r="H10" s="5" t="inlineStr">
        <is>
          <t>UNBLOCKED 2026-08-13. Sharath's ruling: respect the workbook's declared aggregation - a curated profile entry applies only where the workbook declares that same agg. Comparison numbers already proven live. Fix is local; DEPLOYING it later needs Snowflake, and it changes numbers the deployed app renders. See HANDOFF_TRACK_B_VALIDATION.md item 5b.</t>
        </is>
      </c>
      <c r="I10" s="5" t="inlineStr">
        <is>
          <t>profile_superstore.py, engine.py (resolve_measure ~line 218-255)</t>
        </is>
      </c>
      <c r="J10" s="5" t="inlineStr">
        <is>
          <t>DECIDED: respect the workbook's declared aggregation - a curated profile entry applies ONLY where the workbook declares that same agg, otherwise the workbook wins. This is the STRUCTURAL fix (kills the whole bug class), not a one-line swap to SUM. Done when Product Detail Sheet Discount matches Tableau's 0.2/0.8/0.4 AND sheets where AVG is correct still read AVG, gated both ways. Changes numbers the DEPLOYED app renders -&gt; needs redeploy + tracker update.</t>
        </is>
      </c>
      <c r="K10" s="8" t="inlineStr">
        <is>
          <t>Ready</t>
        </is>
      </c>
      <c r="L10" s="5" t="inlineStr">
        <is>
          <t>D2 decided 2026-08-13</t>
        </is>
      </c>
    </row>
    <row r="11" ht="96" customHeight="1">
      <c r="A11" s="4" t="inlineStr">
        <is>
          <t>B7</t>
        </is>
      </c>
      <c r="B11" s="5" t="inlineStr">
        <is>
          <t>tableau_parser.source_tables() misreports a legacy-joined object. Its findall('.//relation[@type=table]') walks relations nested inside a legacy &lt;relation type='join'&gt; clause tree, so Globalsalesdashboard's single already-resolved object reports as a '3-table data model'.</t>
        </is>
      </c>
      <c r="C11" s="8" t="inlineStr">
        <is>
          <t>P2</t>
        </is>
      </c>
      <c r="D11" s="8" t="inlineStr">
        <is>
          <t>not est.</t>
        </is>
      </c>
      <c r="E11" s="8" t="inlineStr">
        <is>
          <t>-</t>
        </is>
      </c>
      <c r="F11" s="9" t="inlineStr">
        <is>
          <t>1 - INDEPENDENT</t>
        </is>
      </c>
      <c r="G11" s="9" t="inlineStr">
        <is>
          <t>No</t>
        </is>
      </c>
      <c r="H11" s="5" t="inlineStr">
        <is>
          <t>Pure XML parsing against Globalsalesdashboard.twbx, which is local. No runtime, no account, no data.</t>
        </is>
      </c>
      <c r="I11" s="5" t="inlineStr">
        <is>
          <t>tableau_parser.py</t>
        </is>
      </c>
      <c r="J11" s="5" t="inlineStr">
        <is>
          <t>Skip relations nested inside another relation's &lt;clause&gt; subtree. NOTE: practical impact today is NONE - the bindable=False outcome is already the correct conclusion; only the REASON STRING is misleading.</t>
        </is>
      </c>
      <c r="K11" s="8" t="inlineStr">
        <is>
          <t>Not started</t>
        </is>
      </c>
      <c r="L11" s="5" t="inlineStr">
        <is>
          <t>Reason-string only, no behavior change</t>
        </is>
      </c>
    </row>
    <row r="12" ht="96" customHeight="1">
      <c r="A12" s="4" t="inlineStr">
        <is>
          <t>B8</t>
        </is>
      </c>
      <c r="B12" s="5" t="inlineStr">
        <is>
          <t>Multi-fact / cyclic graph refusal - PROOF only, no fix expected. The refusal logic is BUILT (DATA_MODEL_STATUS.md 3.4/3.5) but has only ever been proven on synthetic fixtures.</t>
        </is>
      </c>
      <c r="C12" s="8" t="inlineStr">
        <is>
          <t>P2</t>
        </is>
      </c>
      <c r="D12" s="8" t="inlineStr">
        <is>
          <t>not est.</t>
        </is>
      </c>
      <c r="E12" s="8" t="inlineStr">
        <is>
          <t>-</t>
        </is>
      </c>
      <c r="F12" s="9" t="inlineStr">
        <is>
          <t>1 - INDEPENDENT</t>
        </is>
      </c>
      <c r="G12" s="9" t="inlineStr">
        <is>
          <t>No</t>
        </is>
      </c>
      <c r="H12" s="5" t="inlineStr">
        <is>
          <t>tests/make_datamodel_workbooks.py generates the workbook locally; the refusal path is offline logic.</t>
        </is>
      </c>
      <c r="I12" s="5" t="inlineStr">
        <is>
          <t>tests/make_datamodel_workbooks.py, semantic_layer.py</t>
        </is>
      </c>
      <c r="J12" s="5" t="inlineStr">
        <is>
          <t>Build a real workbook (two facts sharing one dim, or a 3-table loop) and confirm the refusal fires correctly on real XML. Expected outcome is a PASSING PROOF, not a code fix.</t>
        </is>
      </c>
      <c r="K12" s="8" t="inlineStr">
        <is>
          <t>Not started</t>
        </is>
      </c>
      <c r="L12" s="5" t="inlineStr"/>
    </row>
    <row r="13" ht="44" customHeight="1">
      <c r="A13" s="12" t="n"/>
      <c r="B13" s="13" t="inlineStr">
        <is>
          <t>TOTAL - deliberately NOT estimated</t>
        </is>
      </c>
      <c r="C13" s="12" t="n"/>
      <c r="D13" s="18" t="inlineStr">
        <is>
          <t>TBD</t>
        </is>
      </c>
      <c r="E13" s="12" t="n"/>
      <c r="F13" s="12" t="n"/>
      <c r="G13" s="12" t="n"/>
      <c r="H13" s="12" t="n"/>
      <c r="I13" s="12" t="n"/>
      <c r="J13" s="17" t="inlineStr">
        <is>
          <t>DELIBERATELY NOT ESTIMATED: B2-B5 are investigate-then-fix, and no honest day figure exists yet. Resource 2's day-one deliverable is a real estimate for B2-B5, reported back before committing to a timeline.</t>
        </is>
      </c>
      <c r="K13" s="12" t="n"/>
      <c r="L13" s="12" t="n"/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7" customWidth="1" min="1" max="1"/>
    <col width="58" customWidth="1" min="2" max="2"/>
    <col width="62" customWidth="1" min="3" max="3"/>
    <col width="50" customWidth="1" min="4" max="4"/>
    <col width="14" customWidth="1" min="5" max="5"/>
  </cols>
  <sheetData>
    <row r="1" ht="22" customHeight="1">
      <c r="A1" s="1" t="inlineStr">
        <is>
          <t>DECISIONS - D1 and D2 DECIDED 2026-08-13</t>
        </is>
      </c>
    </row>
    <row r="2" ht="30" customHeight="1">
      <c r="A2" s="2" t="inlineStr">
        <is>
          <t>D1 and D2 are answered, which unblocked B1 and B6. Only the two crosstab exports (E1/E2) remain outstanding from Sharath. D3 is not blocking anyone.</t>
        </is>
      </c>
    </row>
    <row r="4" ht="26" customHeight="1">
      <c r="A4" s="3" t="inlineStr">
        <is>
          <t>ID</t>
        </is>
      </c>
      <c r="B4" s="3" t="inlineStr">
        <is>
          <t>The question</t>
        </is>
      </c>
      <c r="C4" s="3" t="inlineStr">
        <is>
          <t>SHARATH'S RULING</t>
        </is>
      </c>
      <c r="D4" s="3" t="inlineStr">
        <is>
          <t>Status / notes</t>
        </is>
      </c>
      <c r="E4" s="3" t="inlineStr">
        <is>
          <t>Task</t>
        </is>
      </c>
    </row>
    <row r="5" ht="76" customHeight="1">
      <c r="A5" s="11" t="inlineStr">
        <is>
          <t>D1</t>
        </is>
      </c>
      <c r="B5" s="19" t="inlineStr">
        <is>
          <t>order_match: should an exact row-ORDER mismatch fail a chart that is NOT a ranked list? Today it does - so on Regional Analysis two charts read chart-level FAIL while every single cell passes.</t>
        </is>
      </c>
      <c r="C5" s="19" t="inlineStr">
        <is>
          <t>DECIDED 2026-08-13: order is a structural FAIL ONLY for charts where display order carries meaning (rank tables, top-N). Everywhere else it becomes an INFORMATIONAL flag. Do not delete the check; do not weaken it for ranked lists. The gate must prove BOTH directions.</t>
        </is>
      </c>
      <c r="D5" s="19" t="inlineStr">
        <is>
          <t>DECIDED - B1 is unblocked and ready to build. Rationale is written into HANDOFF_TRACK_B_VALIDATION.md item 1.</t>
        </is>
      </c>
      <c r="E5" s="20" t="inlineStr">
        <is>
          <t>B1 - READY</t>
        </is>
      </c>
    </row>
    <row r="6" ht="76" customHeight="1">
      <c r="A6" s="11" t="inlineStr">
        <is>
          <t>D2</t>
        </is>
      </c>
      <c r="B6" s="19" t="inlineStr">
        <is>
          <t>Discount = AVG or SUM? profile_superstore.py:20 curates AVG(DISCOUNT), overriding the workbook's declared agg=sum. Tableau's own REST values prove the app is wrong (app 0.1/0.2/0.1 vs Tableau 0.2/0.8/0.4; backend agrees with Tableau).</t>
        </is>
      </c>
      <c r="C6" s="19" t="inlineStr">
        <is>
          <t>DECIDED 2026-08-13: respect the WORKBOOK's declared aggregation. A curated profile entry applies only where the workbook declares that same agg; otherwise the workbook wins. Structural fix, NOT a one-line swap to SUM - it closes the whole bug class rather than this one measure.</t>
        </is>
      </c>
      <c r="D6" s="19" t="inlineStr">
        <is>
          <t>DECIDED - B6 is unblocked. NOTE: this changes numbers the DEPLOYED app renders, so it needs a redeploy + tracker update. See HANDOFF_TRACK_B_VALIDATION.md item 5b.</t>
        </is>
      </c>
      <c r="E6" s="20" t="inlineStr">
        <is>
          <t>B6 - READY</t>
        </is>
      </c>
    </row>
    <row r="7" ht="76" customHeight="1">
      <c r="A7" s="11" t="inlineStr">
        <is>
          <t>D3</t>
        </is>
      </c>
      <c r="B7" s="19" t="inlineStr">
        <is>
          <t>Is the Track A backlog order still the priority you want? The list follows MVP_ACCELERATOR_SCOPE.md. Rich tooltips (A9) is recorded as 'user deprioritized'.</t>
        </is>
      </c>
      <c r="C7" s="19" t="inlineStr">
        <is>
          <t>NOT formally answered - the MVP_ACCELERATOR_SCOPE.md order stands by default and A9 remains last. Confirm before anyone spends a day on A9.</t>
        </is>
      </c>
      <c r="D7" s="19" t="inlineStr">
        <is>
          <t>Resource 1 is NOT blocked by this: A1 (Bins) was never gated on it.</t>
        </is>
      </c>
      <c r="E7" s="20" t="inlineStr">
        <is>
          <t>A-track order</t>
        </is>
      </c>
    </row>
    <row r="10">
      <c r="A10" s="21" t="inlineStr">
        <is>
          <t>STILL OUTSTANDING FROM SHARATH - two file exports (~15 min), unblocks B3 + B4</t>
        </is>
      </c>
    </row>
    <row r="11">
      <c r="A11" s="3" t="inlineStr">
        <is>
          <t>ID</t>
        </is>
      </c>
      <c r="B11" s="3" t="inlineStr">
        <is>
          <t>Export needed</t>
        </is>
      </c>
      <c r="C11" s="3" t="inlineStr">
        <is>
          <t>Why it's blocking</t>
        </is>
      </c>
      <c r="D11" s="3" t="inlineStr">
        <is>
          <t>How</t>
        </is>
      </c>
      <c r="E11" s="3" t="inlineStr">
        <is>
          <t>Unblocks</t>
        </is>
      </c>
    </row>
    <row r="12" ht="66" customHeight="1">
      <c r="A12" s="11" t="inlineStr">
        <is>
          <t>E1</t>
        </is>
      </c>
      <c r="B12" s="19" t="inlineStr">
        <is>
          <t>One Tableau crosstab CSV in the PIVOTED / LONG shape (Measure Names / Measure Values columns).</t>
        </is>
      </c>
      <c r="C12" s="19" t="inlineStr">
        <is>
          <t>CONFIRMED MISSING: no live Tableau crosstab CSV is saved anywhere in the repo, and there is no fixture for the pivoted shape at all (checked tests/fixtures/ and every reports/ pack). B3 cannot be worked offline without it.</t>
        </is>
      </c>
      <c r="D12" s="19" t="inlineStr">
        <is>
          <t>Worksheet -&gt; Export -&gt; Data (or Download -&gt; Crosstab -&gt; CSV in Tableau Cloud/Server). Save into tests/fixtures/ and commit.</t>
        </is>
      </c>
      <c r="E12" s="20" t="inlineStr">
        <is>
          <t>B3</t>
        </is>
      </c>
    </row>
    <row r="13" ht="66" customHeight="1">
      <c r="A13" s="11" t="inlineStr">
        <is>
          <t>E2</t>
        </is>
      </c>
      <c r="B13" s="19" t="inlineStr">
        <is>
          <t>One Tableau crosstab CSV whose header carries a DATE-PART grouping (e.g. 'Month of Order Date').</t>
        </is>
      </c>
      <c r="C13" s="19" t="inlineStr">
        <is>
          <t>Same situation as E1 - none saved locally. B4 needs a real header to align against, not an assumed format.</t>
        </is>
      </c>
      <c r="D13" s="19" t="inlineStr">
        <is>
          <t>Same export path. Save into tests/fixtures/ and commit - both then become PERMANENT regression fixtures, not just a one-time unblock.</t>
        </is>
      </c>
      <c r="E13" s="20" t="inlineStr">
        <is>
          <t>B4</t>
        </is>
      </c>
    </row>
    <row r="16">
      <c r="A16" s="21" t="inlineStr">
        <is>
          <t>NOT ASSIGNED TO EITHER RESOURCE - needs Snowsight access, not an engineer</t>
        </is>
      </c>
    </row>
    <row r="17">
      <c r="A17" s="3" t="inlineStr">
        <is>
          <t>ID</t>
        </is>
      </c>
      <c r="B17" s="3" t="inlineStr">
        <is>
          <t>Task</t>
        </is>
      </c>
      <c r="C17" s="3" t="inlineStr">
        <is>
          <t>Est</t>
        </is>
      </c>
      <c r="D17" s="3" t="inlineStr">
        <is>
          <t>Suggested owner</t>
        </is>
      </c>
      <c r="E17" s="3" t="inlineStr">
        <is>
          <t>Note</t>
        </is>
      </c>
    </row>
    <row r="18" ht="62" customHeight="1">
      <c r="A18" s="4" t="inlineStr">
        <is>
          <t>S1</t>
        </is>
      </c>
      <c r="B18" s="5" t="inlineStr">
        <is>
          <t>R9 UI upload confirmation - upload Workbooks/R9_Live_Join_Orders_Product_Category.twb through the deployed pipeline_demo app. Code-complete, gated, already verified against the real account via pipeline.onboard(). Same final UI confirmation R3 and R10 passed.</t>
        </is>
      </c>
      <c r="C18" s="8" t="inlineStr">
        <is>
          <t>~10 min, no dev work</t>
        </is>
      </c>
      <c r="D18" s="5" t="inlineStr">
        <is>
          <t>DELEGATE to Resource 2 (they have Snowsight)</t>
        </is>
      </c>
      <c r="E18" s="5" t="inlineStr">
        <is>
          <t>Closes the last open data-model verification item.</t>
        </is>
      </c>
    </row>
    <row r="19" ht="62" customHeight="1">
      <c r="A19" s="4" t="inlineStr">
        <is>
          <t>S2</t>
        </is>
      </c>
      <c r="B19" s="5" t="inlineStr">
        <is>
          <t>MVP sign-off (item #6) - your own visual confirmation in Snowsight. The last open MVP item; explicitly not dev work.</t>
        </is>
      </c>
      <c r="C19" s="8" t="inlineStr">
        <is>
          <t>-</t>
        </is>
      </c>
      <c r="D19" s="5" t="inlineStr">
        <is>
          <t>Sharath</t>
        </is>
      </c>
      <c r="E19" s="5" t="inlineStr">
        <is>
          <t>MVP reads 5 of 6 done; this is the 6th.</t>
        </is>
      </c>
    </row>
    <row r="20" ht="62" customHeight="1">
      <c r="A20" s="4" t="inlineStr">
        <is>
          <t>S3</t>
        </is>
      </c>
      <c r="B20" s="5" t="inlineStr">
        <is>
          <t>Confirm R8 deploy status - the Cortex-vision re-wire was marked 'NOT YET DEPLOYED' on 2026-08-07, and ARCHITECTURE.md:1579 notes one such banner is itself stale. Needs a look at what is actually live.</t>
        </is>
      </c>
      <c r="C20" s="8" t="inlineStr">
        <is>
          <t>~15 min</t>
        </is>
      </c>
      <c r="D20" s="5" t="inlineStr">
        <is>
          <t>Whoever has Snowsight access</t>
        </is>
      </c>
      <c r="E20" s="5" t="inlineStr">
        <is>
          <t>Do this before anyone trusts either claim in the docs.</t>
        </is>
      </c>
    </row>
    <row r="23">
      <c r="A23" s="21" t="inlineStr">
        <is>
          <t>DEPENDENCY TIER LEGEND (the 'Dependency tier' column on both resource tabs)</t>
        </is>
      </c>
    </row>
    <row r="24" ht="62" customHeight="1">
      <c r="A24" s="22" t="inlineStr">
        <is>
          <t>1 - INDEPENDENT</t>
        </is>
      </c>
      <c r="B24" s="23" t="inlineStr">
        <is>
          <t>Fully self-contained. Everything needed is already in the repo - the corpus workbooks live in Workbooks/, the parsed IR fixtures are committed, and the regression suite runs entirely offline on DuckDB + fake Snowflake sessions (verified 2026-08-13 by a full 81-gate run with NO credentials). Hand over the repo and the resource is productive immediately.</t>
        </is>
      </c>
    </row>
    <row r="25" ht="62" customHeight="1">
      <c r="A25" s="24" t="inlineStr">
        <is>
          <t>2 - ONE-TIME UNBLOCK</t>
        </is>
      </c>
      <c r="B25" s="23" t="inlineStr">
        <is>
          <t>Needs ONE thing from you, once - then fully offline. Either a 2-minute decision (D1/D2/D3) or a single exported sample file. Total cost to you across all five tier-2 tasks is roughly 30 minutes, and it is the highest-leverage time you can spend on this handoff.</t>
        </is>
      </c>
    </row>
    <row r="26" ht="62" customHeight="1">
      <c r="A26" s="25" t="inlineStr">
        <is>
          <t>3 - NEEDS SNOWFLAKE</t>
        </is>
      </c>
      <c r="B26" s="23" t="inlineStr">
        <is>
          <t>Genuinely needs your Snowflake / Snowsight account and cannot be delegated without credentials. NOTE: this is about DIAGNOSIS. Deploying any finished fix also needs Snowflake, but that batches - both resources build and gate-lock offline, and you deploy in a single pass.</t>
        </is>
      </c>
    </row>
    <row r="28" ht="58" customHeight="1">
      <c r="A28" s="26" t="inlineStr">
        <is>
          <t>SUMMARY (updated 2026-08-13, after D1/D2 were decided AND both resources were confirmed to have Snowflake/Snowsight access): 16 of 18 tasks are now tier 1 - zero dependency on Sharath. Resource 1: ALL 10 tasks independent (A8 included, since it only needed the Snowflake sandbox). Resource 2: B1/B2/B5/B6/B7/B8 all independent. ONLY B3 and B4 remain gated, on the E1/E2 crosstab exports - and even those become self-serve if Resource 2 is given Tableau access, since they could export the two crosstabs themselves. S1/S3 should now be DELEGATED, not kept by Sharath. BOTH RESOURCES CAN START IMMEDIATELY.</t>
        </is>
      </c>
    </row>
    <row r="30">
      <c r="A30" s="21" t="inlineStr">
        <is>
          <t>GROUND RULES - BOTH RESOURCES</t>
        </is>
      </c>
    </row>
    <row r="31" ht="40" customHeight="1">
      <c r="A31" s="23" t="inlineStr">
        <is>
          <t>- COLLISION RISK: both tracks can touch engine.py. Track A owns it for new chart renderers. Track B may need it for channel captions (engine.py does not set real Tableau captions as axis/tooltip titles - documented as the 'biggest lever' for validation; the 2026-08-11 pie-theta fix was exactly this). RULE: Track B does not edit engine.py without telling Track A first. A caption change also alters the shipped app's visuals, so it needs its own decision.</t>
        </is>
      </c>
    </row>
    <row r="32" ht="40" customHeight="1">
      <c r="A32" s="23" t="inlineStr">
        <is>
          <t>- NO VERSION CONTROL in this working directory. With two people editing, set up git first or partition file ownership manually - there is no branch isolation and no undo.</t>
        </is>
      </c>
    </row>
    <row r="33" ht="40" customHeight="1">
      <c r="A33" s="23" t="inlineStr">
        <is>
          <t>- Regression suite must stay green: run 'python tests/test_regression.py' from the repo root. Verified green 2026-08-13: 82 gates defined, 81 auto-run all passing, 1 deliberately manual (needs a live session).</t>
        </is>
      </c>
    </row>
    <row r="34" ht="40" customHeight="1">
      <c r="A34" s="23" t="inlineStr">
        <is>
          <t>- Every fix needs a gate with PROVEN TEETH - revert your fix and confirm the gate goes red.</t>
        </is>
      </c>
    </row>
    <row r="35" ht="40" customHeight="1">
      <c r="A35" s="23" t="inlineStr">
        <is>
          <t>- Update status_config.json + MVP_ACCELERATOR_SCOPE.md IN THE SAME CHANGE as the feature/fix, not as a follow-up. test_tracker_consistency enforces part of this.</t>
        </is>
      </c>
    </row>
    <row r="36" ht="40" customHeight="1">
      <c r="A36" s="23" t="inlineStr">
        <is>
          <t>- TRUST INVARIANT: BLOCKED (never measured) and FAIL (proven wrong) must never look the same. A missing proof cannot become a pass.</t>
        </is>
      </c>
    </row>
    <row r="37" ht="40" customHeight="1">
      <c r="A37" s="23" t="inlineStr">
        <is>
          <t>- TRUST INVARIANT: never guess. Where the code refuses - an ambiguous crosstab, an unresolvable column, a multi-fact graph - that refusal IS the feature. At least two refusals here exist because a looser version was tried and found genuinely ambiguous against live data.</t>
        </is>
      </c>
    </row>
    <row r="38" ht="40" customHeight="1">
      <c r="A38" s="23" t="inlineStr">
        <is>
          <t>- TRUST INVARIANT: nothing is silently dropped. Every unsupported construct produces a named finding, never a blank chart or a guessed number.</t>
        </is>
      </c>
    </row>
  </sheetData>
  <mergeCells count="18">
    <mergeCell ref="A30:E30"/>
    <mergeCell ref="B26:E26"/>
    <mergeCell ref="A34:E34"/>
    <mergeCell ref="A35:E35"/>
    <mergeCell ref="A38:E38"/>
    <mergeCell ref="A2:E2"/>
    <mergeCell ref="A16:E16"/>
    <mergeCell ref="A10:E10"/>
    <mergeCell ref="A28:E28"/>
    <mergeCell ref="A33:E33"/>
    <mergeCell ref="A1:E1"/>
    <mergeCell ref="A23:E23"/>
    <mergeCell ref="B24:E24"/>
    <mergeCell ref="B25:E25"/>
    <mergeCell ref="A31:E31"/>
    <mergeCell ref="A32:E32"/>
    <mergeCell ref="A36:E36"/>
    <mergeCell ref="A37:E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2026-08-13T14:37:49Z</dcterms:created>
  <dcterms:modified xmlns:dcterms="http://purl.org/dc/terms/" xmlns:xsi="http://www.w3.org/2001/XMLSchema-instance" xsi:type="dcterms:W3CDTF">2026-08-13T14:37:49Z</dcterms:modified>
</cp:coreProperties>
</file>