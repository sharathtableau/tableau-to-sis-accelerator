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tatus Tracker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0F172A"/>
      <sz val="14"/>
    </font>
    <font>
      <name val="Calibri"/>
      <charset val="1"/>
      <family val="0"/>
      <color rgb="FF595959"/>
      <sz val="9"/>
    </font>
    <font>
      <name val="Calibri"/>
      <charset val="1"/>
      <family val="0"/>
      <b val="1"/>
      <color rgb="FF000000"/>
      <sz val="9"/>
    </font>
    <font>
      <name val="Calibri"/>
      <charset val="1"/>
      <family val="0"/>
      <color rgb="FF0000FF"/>
      <sz val="10"/>
    </font>
    <font>
      <name val="Calibri"/>
      <charset val="1"/>
      <family val="0"/>
      <b val="1"/>
      <color rgb="FFFFFFFF"/>
      <sz val="14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2563EB"/>
      <sz val="10"/>
    </font>
    <font>
      <name val="Calibri"/>
      <charset val="1"/>
      <family val="0"/>
      <color rgb="FF000000"/>
      <sz val="9"/>
    </font>
    <font>
      <name val="Calibri"/>
      <charset val="1"/>
      <family val="0"/>
      <b val="1"/>
      <color rgb="FF0000FF"/>
      <sz val="10"/>
    </font>
    <font>
      <name val="Calibri"/>
      <charset val="1"/>
      <family val="0"/>
      <b val="1"/>
      <color rgb="FF000000"/>
      <sz val="10"/>
    </font>
    <font>
      <name val="Calibri"/>
      <charset val="1"/>
      <family val="0"/>
      <b val="1"/>
      <sz val="10"/>
    </font>
    <font>
      <name val="Calibri"/>
      <charset val="1"/>
      <family val="0"/>
      <b val="1"/>
      <color rgb="FF006100"/>
      <sz val="10"/>
    </font>
    <font>
      <name val="Calibri"/>
      <charset val="1"/>
      <family val="0"/>
      <b val="1"/>
      <color rgb="FF1F4E79"/>
      <sz val="10"/>
    </font>
    <font>
      <name val="Calibri"/>
      <charset val="1"/>
      <family val="0"/>
      <b val="1"/>
      <color rgb="FF9C0006"/>
      <sz val="11"/>
    </font>
    <font>
      <name val="Calibri"/>
      <charset val="1"/>
      <family val="0"/>
      <b val="1"/>
      <color rgb="FF9C6500"/>
      <sz val="9"/>
    </font>
  </fonts>
  <fills count="9">
    <fill>
      <patternFill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2563EB"/>
        <bgColor rgb="FF0066CC"/>
      </patternFill>
    </fill>
    <fill>
      <patternFill patternType="solid">
        <fgColor rgb="FF0F172A"/>
        <bgColor rgb="FF000000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D9E1F2"/>
      </patternFill>
    </fill>
    <fill>
      <patternFill patternType="solid">
        <fgColor rgb="FF7F1D1D"/>
        <bgColor rgb="FF800000"/>
      </patternFill>
    </fill>
    <fill>
      <patternFill patternType="solid">
        <fgColor rgb="FFFFEB9C"/>
        <bgColor rgb="FFF2F2F2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9" fontId="8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9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right" vertical="center" wrapText="1"/>
    </xf>
    <xf numFmtId="0" fontId="14" fillId="5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 wrapText="1"/>
    </xf>
    <xf numFmtId="0" fontId="16" fillId="2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9" fontId="8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9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right" vertical="center" wrapText="1"/>
    </xf>
    <xf numFmtId="0" fontId="14" fillId="5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6" fillId="2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ont>
        <b val="1"/>
        <color rgb="FF006100"/>
      </font>
      <fill>
        <patternFill>
          <bgColor rgb="FFC6EFCE"/>
        </patternFill>
      </fill>
    </dxf>
    <dxf>
      <font>
        <b val="1"/>
        <color rgb="FF9C6500"/>
      </font>
      <fill>
        <patternFill>
          <bgColor rgb="FFFFEB9C"/>
        </patternFill>
      </fill>
    </dxf>
    <dxf>
      <font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563EB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F172A"/>
      <rgbColor rgb="FF333300"/>
      <rgbColor rgb="FF7F1D1D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I3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2" customWidth="1" style="20" min="1" max="1"/>
    <col width="40" customWidth="1" style="20" min="2" max="2"/>
    <col width="22" customWidth="1" style="20" min="3" max="3"/>
    <col width="11" customWidth="1" style="20" min="4" max="5"/>
    <col width="13" customWidth="1" style="20" min="6" max="6"/>
    <col width="9" customWidth="1" style="20" min="7" max="8"/>
    <col width="10" customWidth="1" style="20" min="9" max="9"/>
  </cols>
  <sheetData>
    <row r="2" ht="17.35" customHeight="1" s="21">
      <c r="B2" s="22" t="inlineStr">
        <is>
          <t>Tableau → Streamlit-in-Snowflake — Project Status Tracker</t>
        </is>
      </c>
    </row>
    <row r="3" ht="15" customHeight="1" s="21">
      <c r="B3" s="23" t="inlineStr">
        <is>
          <t>Update the % Complete, RAG and Notes each reporting cycle. Overall % and counts roll up automatically. Blue = you edit.</t>
        </is>
      </c>
    </row>
    <row r="5" ht="20.85" customHeight="1" s="21">
      <c r="B5" s="24" t="inlineStr">
        <is>
          <t>Reporting date</t>
        </is>
      </c>
      <c r="C5" s="25" t="inlineStr">
        <is>
          <t>2026-07-15</t>
        </is>
      </c>
      <c r="D5" s="24" t="inlineStr">
        <is>
          <t>Target</t>
        </is>
      </c>
      <c r="E5" s="25" t="inlineStr">
        <is>
          <t>Oct 2026</t>
        </is>
      </c>
      <c r="F5" s="24" t="inlineStr">
        <is>
          <t>Owner</t>
        </is>
      </c>
      <c r="G5" s="25" t="inlineStr">
        <is>
          <t>Sharath Kumar</t>
        </is>
      </c>
      <c r="H5" s="24" t="inlineStr">
        <is>
          <t>Overall %</t>
        </is>
      </c>
      <c r="I5" s="26">
        <f>AVERAGE(G8:G15)</f>
        <v/>
      </c>
    </row>
    <row r="7" ht="23.85" customHeight="1" s="21">
      <c r="B7" s="27" t="inlineStr">
        <is>
          <t>ID</t>
        </is>
      </c>
      <c r="C7" s="27" t="inlineStr">
        <is>
          <t>Milestone</t>
        </is>
      </c>
      <c r="D7" s="27" t="inlineStr">
        <is>
          <t>Owner</t>
        </is>
      </c>
      <c r="E7" s="27" t="inlineStr">
        <is>
          <t>Start</t>
        </is>
      </c>
      <c r="F7" s="27" t="inlineStr">
        <is>
          <t>Target</t>
        </is>
      </c>
      <c r="G7" s="27" t="inlineStr">
        <is>
          <t>% Complete</t>
        </is>
      </c>
      <c r="H7" s="27" t="inlineStr">
        <is>
          <t>RAG</t>
        </is>
      </c>
      <c r="I7" s="27" t="inlineStr">
        <is>
          <t>Notes</t>
        </is>
      </c>
    </row>
    <row r="8" ht="55.2" customHeight="1" s="21">
      <c r="B8" s="28" t="inlineStr">
        <is>
          <t>M1</t>
        </is>
      </c>
      <c r="C8" s="29" t="inlineStr">
        <is>
          <t>Discovery &amp; target architecture</t>
        </is>
      </c>
      <c r="D8" s="30" t="inlineStr">
        <is>
          <t>Lead</t>
        </is>
      </c>
      <c r="E8" s="30" t="inlineStr">
        <is>
          <t>Apr 2026</t>
        </is>
      </c>
      <c r="F8" s="30" t="inlineStr">
        <is>
          <t>May 2026</t>
        </is>
      </c>
      <c r="G8" s="31" t="n">
        <v>1</v>
      </c>
      <c r="H8" s="32" t="inlineStr">
        <is>
          <t>G</t>
        </is>
      </c>
      <c r="I8" s="29" t="inlineStr">
        <is>
          <t>Licenses, Snowflake+SiS architecture, compute sizing agreed.</t>
        </is>
      </c>
    </row>
    <row r="9" ht="64.15000000000001" customHeight="1" s="21">
      <c r="B9" s="28" t="inlineStr">
        <is>
          <t>M2</t>
        </is>
      </c>
      <c r="C9" s="29" t="inlineStr">
        <is>
          <t>Core accelerator engine (parse→translate→codegen→render)</t>
        </is>
      </c>
      <c r="D9" s="30" t="inlineStr">
        <is>
          <t>Sharath</t>
        </is>
      </c>
      <c r="E9" s="30" t="inlineStr">
        <is>
          <t>May 2026</t>
        </is>
      </c>
      <c r="F9" s="30" t="inlineStr">
        <is>
          <t>Jun 2026</t>
        </is>
      </c>
      <c r="G9" s="31" t="n">
        <v>1</v>
      </c>
      <c r="H9" s="32" t="inlineStr">
        <is>
          <t>G</t>
        </is>
      </c>
      <c r="I9" s="29" t="inlineStr">
        <is>
          <t>Generic pipeline works end-to-end; any workbook → multi-tab app.</t>
        </is>
      </c>
    </row>
    <row r="10" ht="73.09999999999999" customHeight="1" s="21">
      <c r="B10" s="28" t="inlineStr">
        <is>
          <t>M3</t>
        </is>
      </c>
      <c r="C10" s="29" t="inlineStr">
        <is>
          <t>Data layer in Snowflake</t>
        </is>
      </c>
      <c r="D10" s="30" t="inlineStr">
        <is>
          <t>Data Eng</t>
        </is>
      </c>
      <c r="E10" s="30" t="inlineStr">
        <is>
          <t>Jun 2026</t>
        </is>
      </c>
      <c r="F10" s="30" t="inlineStr">
        <is>
          <t>Aug 2026</t>
        </is>
      </c>
      <c r="G10" s="31" t="n">
        <v>0.85</v>
      </c>
      <c r="H10" s="32" t="inlineStr">
        <is>
          <t>G</t>
        </is>
      </c>
      <c r="I10" s="29" t="inlineStr">
        <is>
          <t>Local + full data wired (totals match). Snowflake mapping &amp; 2nd source pending.</t>
        </is>
      </c>
    </row>
    <row r="11" ht="37.3" customHeight="1" s="21">
      <c r="B11" s="28" t="inlineStr">
        <is>
          <t>M4</t>
        </is>
      </c>
      <c r="C11" s="29" t="inlineStr">
        <is>
          <t>Dashboard fidelity — 6 dashboards matched</t>
        </is>
      </c>
      <c r="D11" s="30" t="inlineStr">
        <is>
          <t>Sharath</t>
        </is>
      </c>
      <c r="E11" s="30" t="inlineStr">
        <is>
          <t>Jun 2026</t>
        </is>
      </c>
      <c r="F11" s="30" t="inlineStr">
        <is>
          <t>Aug 2026</t>
        </is>
      </c>
      <c r="G11" s="31" t="n">
        <v>0.9</v>
      </c>
      <c r="H11" s="32" t="inlineStr">
        <is>
          <t>G</t>
        </is>
      </c>
      <c r="I11" s="29" t="inlineStr">
        <is>
          <t>3 of 6 verified (Overview, Product, Customer).</t>
        </is>
      </c>
    </row>
    <row r="12" ht="64.15000000000001" customHeight="1" s="21">
      <c r="B12" s="28" t="inlineStr">
        <is>
          <t>M5</t>
        </is>
      </c>
      <c r="C12" s="29" t="inlineStr">
        <is>
          <t>Calculation translation incl. table calcs</t>
        </is>
      </c>
      <c r="D12" s="30" t="inlineStr">
        <is>
          <t>Sharath</t>
        </is>
      </c>
      <c r="E12" s="30" t="inlineStr">
        <is>
          <t>Jun 2026</t>
        </is>
      </c>
      <c r="F12" s="30" t="inlineStr">
        <is>
          <t>Aug 2026</t>
        </is>
      </c>
      <c r="G12" s="31" t="n">
        <v>0.97</v>
      </c>
      <c r="H12" s="32" t="inlineStr">
        <is>
          <t>G</t>
        </is>
      </c>
      <c r="I12" s="29" t="inlineStr">
        <is>
          <t>Core + LOD done; RANK/INDEX parsed; engine wiring + DATEDIFF pending.</t>
        </is>
      </c>
    </row>
    <row r="13" ht="46.25" customHeight="1" s="21">
      <c r="B13" s="28" t="inlineStr">
        <is>
          <t>M6</t>
        </is>
      </c>
      <c r="C13" s="29" t="inlineStr">
        <is>
          <t>Interactivity — filters, parameters, actions</t>
        </is>
      </c>
      <c r="D13" s="30" t="inlineStr">
        <is>
          <t>TBD</t>
        </is>
      </c>
      <c r="E13" s="30" t="inlineStr">
        <is>
          <t>Aug 2026</t>
        </is>
      </c>
      <c r="F13" s="30" t="inlineStr">
        <is>
          <t>Sep 2026</t>
        </is>
      </c>
      <c r="G13" s="31" t="n">
        <v>0.55</v>
      </c>
      <c r="H13" s="32" t="inlineStr">
        <is>
          <t>A</t>
        </is>
      </c>
      <c r="I13" s="29" t="inlineStr">
        <is>
          <t>Per-tab filters live; parameters/actions/tooltips pending.</t>
        </is>
      </c>
    </row>
    <row r="14" ht="46.25" customHeight="1" s="21">
      <c r="B14" s="28" t="inlineStr">
        <is>
          <t>M7</t>
        </is>
      </c>
      <c r="C14" s="29" t="inlineStr">
        <is>
          <t>Deployment to SiS (auth, refresh, RLS)</t>
        </is>
      </c>
      <c r="D14" s="30" t="inlineStr">
        <is>
          <t>TBD</t>
        </is>
      </c>
      <c r="E14" s="30" t="inlineStr">
        <is>
          <t>Sep 2026</t>
        </is>
      </c>
      <c r="F14" s="30" t="inlineStr">
        <is>
          <t>Oct 2026</t>
        </is>
      </c>
      <c r="G14" s="31" t="n">
        <v>0.8</v>
      </c>
      <c r="H14" s="32" t="inlineStr">
        <is>
          <t>G</t>
        </is>
      </c>
      <c r="I14" s="29" t="inlineStr">
        <is>
          <t>Not started; needs Snowflake account/roles decision.</t>
        </is>
      </c>
    </row>
    <row r="15" ht="37.3" customHeight="1" s="21">
      <c r="B15" s="28" t="inlineStr">
        <is>
          <t>M8</t>
        </is>
      </c>
      <c r="C15" s="29" t="inlineStr">
        <is>
          <t>Accelerator UI + QC report</t>
        </is>
      </c>
      <c r="D15" s="30" t="inlineStr">
        <is>
          <t>TBD</t>
        </is>
      </c>
      <c r="E15" s="30" t="inlineStr">
        <is>
          <t>Sep 2026</t>
        </is>
      </c>
      <c r="F15" s="30" t="inlineStr">
        <is>
          <t>Oct 2026</t>
        </is>
      </c>
      <c r="G15" s="31" t="n">
        <v>0.5</v>
      </c>
      <c r="H15" s="32" t="inlineStr">
        <is>
          <t>A</t>
        </is>
      </c>
      <c r="I15" s="29" t="inlineStr">
        <is>
          <t>QA harnesses built; UI + QC report pending.</t>
        </is>
      </c>
    </row>
    <row r="16" ht="15" customHeight="1" s="21">
      <c r="B16" s="33" t="n"/>
      <c r="C16" s="34" t="inlineStr">
        <is>
          <t>Milestones complete (100%):</t>
        </is>
      </c>
      <c r="D16" s="33" t="n"/>
      <c r="E16" s="33" t="n"/>
      <c r="F16" s="35">
        <f>COUNTIF(G8:G15,1)&amp;" / "&amp;COUNTA(G8:G15)</f>
        <v/>
      </c>
      <c r="G16" s="33" t="n"/>
      <c r="H16" s="33" t="n"/>
      <c r="I16" s="33" t="n"/>
    </row>
    <row r="18" ht="15" customHeight="1" s="21">
      <c r="B18" s="36" t="inlineStr">
        <is>
          <t>Completed this period</t>
        </is>
      </c>
      <c r="C18" s="37" t="n"/>
      <c r="D18" s="37" t="n"/>
      <c r="E18" s="38" t="n"/>
      <c r="G18" s="39" t="inlineStr">
        <is>
          <t>Planned next period</t>
        </is>
      </c>
      <c r="H18" s="37" t="n"/>
      <c r="I18" s="38" t="n"/>
    </row>
    <row r="19" ht="19.4" customHeight="1" s="21">
      <c r="B19" s="29" t="inlineStr">
        <is>
          <t>• Table-calc engine shipped (WINDOW_*/RANK/INDEX → SQL windows).</t>
        </is>
      </c>
      <c r="C19" s="37" t="n"/>
      <c r="D19" s="37" t="n"/>
      <c r="E19" s="38" t="n"/>
      <c r="G19" s="29" t="inlineStr">
        <is>
          <t>• Bins/histogram; context filters.</t>
        </is>
      </c>
      <c r="H19" s="37" t="n"/>
      <c r="I19" s="38" t="n"/>
    </row>
    <row r="20" ht="19.4" customHeight="1" s="21">
      <c r="B20" s="29" t="inlineStr">
        <is>
          <t>• Multi-table relationship extracts flatten automatically; E-Commerce 46→68%.</t>
        </is>
      </c>
      <c r="C20" s="37" t="n"/>
      <c r="D20" s="37" t="n"/>
      <c r="E20" s="38" t="n"/>
      <c r="G20" s="29" t="inlineStr">
        <is>
          <t>• Live-source semantic views in Snowflake.</t>
        </is>
      </c>
      <c r="H20" s="37" t="n"/>
      <c r="I20" s="38" t="n"/>
    </row>
    <row r="21" ht="19.4" customHeight="1" s="21">
      <c r="B21" s="29" t="inlineStr">
        <is>
          <t>• Top-N, hierarchies drill, device layouts, silent-gap findings shipped.</t>
        </is>
      </c>
      <c r="C21" s="37" t="n"/>
      <c r="D21" s="37" t="n"/>
      <c r="E21" s="38" t="n"/>
      <c r="G21" s="29" t="inlineStr">
        <is>
          <t>• Credentialed SiS deploy dry-run.</t>
        </is>
      </c>
      <c r="H21" s="37" t="n"/>
      <c r="I21" s="38" t="n"/>
    </row>
    <row r="22" ht="15" customHeight="1" s="21">
      <c r="B22" s="29" t="inlineStr">
        <is>
          <t>• Corpus grew to 7 workbooks (two official 2024.3 samples: 96%/100%).</t>
        </is>
      </c>
      <c r="C22" s="37" t="n"/>
      <c r="D22" s="37" t="n"/>
      <c r="E22" s="38" t="n"/>
      <c r="G22" s="29" t="inlineStr">
        <is>
          <t>• Edge-case workbook (joins/multi-fact/RLS).</t>
        </is>
      </c>
      <c r="H22" s="37" t="n"/>
      <c r="I22" s="38" t="n"/>
    </row>
    <row r="23" ht="15" customHeight="1" s="21">
      <c r="B23" s="29" t="inlineStr">
        <is>
          <t>• Regression suite now 13 gates; weekly report self-updating.</t>
        </is>
      </c>
      <c r="C23" s="37" t="n"/>
      <c r="D23" s="37" t="n"/>
      <c r="E23" s="38" t="n"/>
    </row>
    <row r="25" ht="15" customHeight="1" s="21">
      <c r="B25" s="40" t="inlineStr">
        <is>
          <t>Risks &amp; decisions needed</t>
        </is>
      </c>
    </row>
    <row r="26" ht="15" customHeight="1" s="21">
      <c r="B26" s="41" t="inlineStr">
        <is>
          <t>Item</t>
        </is>
      </c>
      <c r="C26" s="41" t="inlineStr">
        <is>
          <t>Impact</t>
        </is>
      </c>
      <c r="D26" s="41" t="inlineStr">
        <is>
          <t>Owner</t>
        </is>
      </c>
      <c r="E26" s="41" t="inlineStr">
        <is>
          <t>Need by</t>
        </is>
      </c>
      <c r="F26" s="41" t="inlineStr">
        <is>
          <t>Status</t>
        </is>
      </c>
    </row>
    <row r="27" ht="19.4" customHeight="1" s="21">
      <c r="B27" s="29" t="inlineStr">
        <is>
          <t>Multi-datasource &amp; RLS need a Snowflake account + roles decision</t>
        </is>
      </c>
      <c r="C27" s="30" t="inlineStr">
        <is>
          <t>Blocks M3/M7</t>
        </is>
      </c>
      <c r="D27" s="30" t="inlineStr">
        <is>
          <t>Director</t>
        </is>
      </c>
      <c r="E27" s="30" t="inlineStr">
        <is>
          <t>Aug 2026</t>
        </is>
      </c>
      <c r="F27" s="42" t="inlineStr">
        <is>
          <t>Open</t>
        </is>
      </c>
    </row>
    <row r="28" ht="19.4" customHeight="1" s="21">
      <c r="B28" s="29" t="inlineStr">
        <is>
          <t>Complex visuals (Sankey/matrix/dual-axis): auto-convert vs flag in QC report?</t>
        </is>
      </c>
      <c r="C28" s="30" t="inlineStr">
        <is>
          <t>Scope/timeline</t>
        </is>
      </c>
      <c r="D28" s="30" t="inlineStr">
        <is>
          <t>Lead+Director</t>
        </is>
      </c>
      <c r="E28" s="30" t="inlineStr">
        <is>
          <t>Jul 2026</t>
        </is>
      </c>
      <c r="F28" s="42" t="inlineStr">
        <is>
          <t>Open</t>
        </is>
      </c>
    </row>
    <row r="29" ht="19.4" customHeight="1" s="21">
      <c r="B29" s="29" t="inlineStr">
        <is>
          <t>Effectively 1 developer — timeline assumes added Data + App engineers</t>
        </is>
      </c>
      <c r="C29" s="30" t="inlineStr">
        <is>
          <t>Timeline</t>
        </is>
      </c>
      <c r="D29" s="30" t="inlineStr">
        <is>
          <t>Director</t>
        </is>
      </c>
      <c r="E29" s="30" t="inlineStr">
        <is>
          <t>Jul 2026</t>
        </is>
      </c>
      <c r="F29" s="42" t="inlineStr">
        <is>
          <t>Open</t>
        </is>
      </c>
    </row>
    <row r="30" ht="19.4" customHeight="1" s="21">
      <c r="B30" s="29" t="inlineStr">
        <is>
          <t>Agree 'fidelity bar' as acceptance criteria (pixel-perfect not feasible for all)</t>
        </is>
      </c>
      <c r="C30" s="30" t="inlineStr">
        <is>
          <t>Acceptance</t>
        </is>
      </c>
      <c r="D30" s="30" t="inlineStr">
        <is>
          <t>Director</t>
        </is>
      </c>
      <c r="E30" s="30" t="inlineStr">
        <is>
          <t>Jul 2026</t>
        </is>
      </c>
      <c r="F30" s="42" t="inlineStr">
        <is>
          <t>Open</t>
        </is>
      </c>
    </row>
  </sheetData>
  <mergeCells count="11">
    <mergeCell ref="B23:E23"/>
    <mergeCell ref="B18:E18"/>
    <mergeCell ref="G22:I22"/>
    <mergeCell ref="G19:I19"/>
    <mergeCell ref="B21:E21"/>
    <mergeCell ref="G18:I18"/>
    <mergeCell ref="G20:I20"/>
    <mergeCell ref="B19:E19"/>
    <mergeCell ref="B20:E20"/>
    <mergeCell ref="G21:I21"/>
    <mergeCell ref="B22:E22"/>
  </mergeCells>
  <conditionalFormatting sqref="H8:H15">
    <cfRule type="cellIs" rank="0" priority="2" equalAverage="0" operator="equal" aboveAverage="0" dxfId="0" text="" percent="0" bottom="0">
      <formula>"G"</formula>
    </cfRule>
    <cfRule type="cellIs" rank="0" priority="3" equalAverage="0" operator="equal" aboveAverage="0" dxfId="1" text="" percent="0" bottom="0">
      <formula>"A"</formula>
    </cfRule>
    <cfRule type="cellIs" rank="0" priority="4" equalAverage="0" operator="equal" aboveAverage="0" dxfId="2" text="" percent="0" bottom="0">
      <formula>"R"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2026-07-01T07:35:20Z</dcterms:created>
  <dcterms:modified xmlns:dcterms="http://purl.org/dc/terms/" xmlns:xsi="http://www.w3.org/2001/XMLSchema-instance" xsi:type="dcterms:W3CDTF">2026-07-15T17:09:33Z</dcterms:modified>
  <cp:revision>0</cp:revision>
</cp:coreProperties>
</file>